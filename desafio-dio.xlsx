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fa0b4cc76f3576/Documentos/Excel- IA - DIO/"/>
    </mc:Choice>
  </mc:AlternateContent>
  <xr:revisionPtr revIDLastSave="297" documentId="8_{6AE3216C-6EE5-49B5-9E55-76CEAC5F5418}" xr6:coauthVersionLast="47" xr6:coauthVersionMax="47" xr10:uidLastSave="{08B241E3-F47A-44DB-8549-5DFDCC6F785A}"/>
  <bookViews>
    <workbookView minimized="1" xWindow="3312" yWindow="3312" windowWidth="17280" windowHeight="8880" activeTab="1" xr2:uid="{5C24F9B7-1FBC-48D5-B708-314B2F9548F6}"/>
  </bookViews>
  <sheets>
    <sheet name="Planilha3" sheetId="3" r:id="rId1"/>
    <sheet name="Planilha1" sheetId="1" r:id="rId2"/>
    <sheet name="Planilha2" sheetId="2" r:id="rId3"/>
  </sheets>
  <definedNames>
    <definedName name="aporte">Planilha1!$D$9</definedName>
    <definedName name="patrimonio">Planilha1!$D$12</definedName>
    <definedName name="qtd_anos">Planilha1!$D$10</definedName>
    <definedName name="Rendimento_carteira">Planilha1!$D$5</definedName>
    <definedName name="salario">Planilha1!$D$4</definedName>
    <definedName name="taxa_mensal">Planilha1!$D$11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1" i="1" l="1"/>
  <c r="C32" i="1"/>
  <c r="C33" i="1"/>
  <c r="D33" i="1" s="1"/>
  <c r="C34" i="1"/>
  <c r="D34" i="1" s="1"/>
  <c r="C35" i="1"/>
  <c r="C30" i="1"/>
  <c r="H4" i="2"/>
  <c r="A19" i="2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C26" i="1"/>
  <c r="D12" i="1"/>
  <c r="D13" i="1" s="1"/>
  <c r="D6" i="1"/>
  <c r="C17" i="1"/>
  <c r="D17" i="1" s="1"/>
  <c r="C18" i="1"/>
  <c r="D18" i="1" s="1"/>
  <c r="C19" i="1"/>
  <c r="D19" i="1" s="1"/>
  <c r="C20" i="1"/>
  <c r="D20" i="1" s="1"/>
  <c r="C21" i="1"/>
  <c r="D21" i="1" s="1"/>
  <c r="D32" i="1" l="1"/>
  <c r="D31" i="1"/>
  <c r="D30" i="1"/>
  <c r="D35" i="1"/>
</calcChain>
</file>

<file path=xl/sharedStrings.xml><?xml version="1.0" encoding="utf-8"?>
<sst xmlns="http://schemas.openxmlformats.org/spreadsheetml/2006/main" count="71" uniqueCount="36">
  <si>
    <t>Quanto investir por mês?</t>
  </si>
  <si>
    <t>Por quantos anos?</t>
  </si>
  <si>
    <t>Taxa de rendimento mensal?</t>
  </si>
  <si>
    <t>Patrimonio acumulado?</t>
  </si>
  <si>
    <t>Dividendos mensais?</t>
  </si>
  <si>
    <t>Investimento mensal</t>
  </si>
  <si>
    <t>DIO INVEST- BeatrizVCosta</t>
  </si>
  <si>
    <t>Cenários</t>
  </si>
  <si>
    <t>Quanto em 2 anos?</t>
  </si>
  <si>
    <t>Quanto em 5 anos?</t>
  </si>
  <si>
    <t>Quanto em 10 anos?</t>
  </si>
  <si>
    <t>Quanto em 20 anos?</t>
  </si>
  <si>
    <t>Quanto em 30 anos?</t>
  </si>
  <si>
    <t>Dividendo</t>
  </si>
  <si>
    <t>Configurações</t>
  </si>
  <si>
    <t>Rendimento Carteira</t>
  </si>
  <si>
    <t>Salário</t>
  </si>
  <si>
    <t>Perfil</t>
  </si>
  <si>
    <t>Agressivo</t>
  </si>
  <si>
    <t>Conservador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</si>
  <si>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</si>
  <si>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</si>
  <si>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</si>
  <si>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</si>
  <si>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</si>
  <si>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</si>
  <si>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</si>
  <si>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</si>
  <si>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</si>
  <si>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</si>
  <si>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</si>
  <si>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PERFIL</t>
  </si>
  <si>
    <t>%</t>
  </si>
  <si>
    <t>CHAVE</t>
  </si>
  <si>
    <t>Moderado-TIJOLO</t>
  </si>
  <si>
    <t>Sugestão de investimento(30%)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</si>
</sst>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5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theme="2" tint="-9.9948118533890809E-2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theme="2"/>
      </top>
      <bottom style="thin">
        <color indexed="64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theme="2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" fillId="5" borderId="0" applyNumberFormat="0" applyBorder="0" applyAlignment="0" applyProtection="0"/>
  </cellStyleXfs>
  <cellXfs count="55">
    <xf numFmtId="0" fontId="0" fillId="0" borderId="0" xfId="0"/>
    <xf numFmtId="0" fontId="5" fillId="0" borderId="0" xfId="0" applyFont="1"/>
    <xf numFmtId="0" fontId="6" fillId="2" borderId="1" xfId="0" applyFont="1" applyFill="1" applyBorder="1" applyAlignment="1">
      <alignment horizontal="left" vertical="center"/>
    </xf>
    <xf numFmtId="164" fontId="0" fillId="0" borderId="6" xfId="1" applyNumberFormat="1" applyFont="1" applyBorder="1" applyAlignment="1">
      <alignment horizontal="center" vertical="center"/>
    </xf>
    <xf numFmtId="9" fontId="0" fillId="0" borderId="9" xfId="2" applyFon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1" fillId="0" borderId="13" xfId="1" applyNumberFormat="1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10" fontId="1" fillId="0" borderId="9" xfId="2" applyNumberFormat="1" applyFont="1" applyBorder="1" applyAlignment="1">
      <alignment horizontal="center"/>
    </xf>
    <xf numFmtId="8" fontId="1" fillId="3" borderId="9" xfId="0" applyNumberFormat="1" applyFont="1" applyFill="1" applyBorder="1" applyAlignment="1">
      <alignment horizontal="center"/>
    </xf>
    <xf numFmtId="8" fontId="1" fillId="3" borderId="12" xfId="0" applyNumberFormat="1" applyFont="1" applyFill="1" applyBorder="1" applyAlignment="1">
      <alignment horizontal="center"/>
    </xf>
    <xf numFmtId="0" fontId="7" fillId="0" borderId="14" xfId="0" applyFont="1" applyBorder="1"/>
    <xf numFmtId="8" fontId="4" fillId="0" borderId="15" xfId="1" applyNumberFormat="1" applyFont="1" applyBorder="1" applyAlignment="1">
      <alignment horizontal="center"/>
    </xf>
    <xf numFmtId="8" fontId="4" fillId="0" borderId="13" xfId="1" applyNumberFormat="1" applyFont="1" applyBorder="1" applyAlignment="1">
      <alignment horizontal="center"/>
    </xf>
    <xf numFmtId="0" fontId="7" fillId="0" borderId="7" xfId="0" applyFont="1" applyBorder="1"/>
    <xf numFmtId="8" fontId="4" fillId="0" borderId="8" xfId="1" applyNumberFormat="1" applyFont="1" applyBorder="1" applyAlignment="1">
      <alignment horizontal="center"/>
    </xf>
    <xf numFmtId="8" fontId="4" fillId="0" borderId="9" xfId="1" applyNumberFormat="1" applyFont="1" applyBorder="1" applyAlignment="1">
      <alignment horizontal="center"/>
    </xf>
    <xf numFmtId="0" fontId="7" fillId="0" borderId="10" xfId="0" applyFont="1" applyBorder="1"/>
    <xf numFmtId="8" fontId="4" fillId="0" borderId="11" xfId="1" applyNumberFormat="1" applyFont="1" applyBorder="1" applyAlignment="1">
      <alignment horizontal="center"/>
    </xf>
    <xf numFmtId="8" fontId="4" fillId="0" borderId="12" xfId="1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8" fillId="3" borderId="7" xfId="0" applyFont="1" applyFill="1" applyBorder="1" applyAlignment="1">
      <alignment horizontal="left"/>
    </xf>
    <xf numFmtId="0" fontId="8" fillId="3" borderId="8" xfId="0" applyFont="1" applyFill="1" applyBorder="1" applyAlignment="1">
      <alignment horizontal="left"/>
    </xf>
    <xf numFmtId="0" fontId="8" fillId="3" borderId="10" xfId="0" applyFont="1" applyFill="1" applyBorder="1" applyAlignment="1">
      <alignment horizontal="left"/>
    </xf>
    <xf numFmtId="0" fontId="8" fillId="3" borderId="1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7" fillId="0" borderId="10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3" fillId="2" borderId="3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9" fillId="5" borderId="0" xfId="3"/>
    <xf numFmtId="0" fontId="9" fillId="5" borderId="0" xfId="3" applyAlignment="1">
      <alignment horizontal="center" vertical="center"/>
    </xf>
    <xf numFmtId="0" fontId="1" fillId="6" borderId="0" xfId="0" applyFont="1" applyFill="1"/>
    <xf numFmtId="164" fontId="1" fillId="6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9" fontId="0" fillId="0" borderId="16" xfId="2" applyFont="1" applyBorder="1" applyAlignment="1">
      <alignment horizontal="center"/>
    </xf>
    <xf numFmtId="0" fontId="0" fillId="0" borderId="0" xfId="0" applyFill="1" applyBorder="1"/>
    <xf numFmtId="0" fontId="0" fillId="0" borderId="16" xfId="0" applyFill="1" applyBorder="1"/>
    <xf numFmtId="9" fontId="0" fillId="0" borderId="0" xfId="0" applyNumberFormat="1" applyAlignment="1">
      <alignment horizontal="center"/>
    </xf>
    <xf numFmtId="9" fontId="0" fillId="0" borderId="16" xfId="0" applyNumberFormat="1" applyBorder="1" applyAlignment="1">
      <alignment horizontal="center"/>
    </xf>
    <xf numFmtId="9" fontId="9" fillId="5" borderId="0" xfId="2" applyFont="1" applyFill="1"/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A9A57-F168-44D2-9E0B-9E5BC7AFEB7C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AA07B-8ED8-454A-A00F-8DEA13F8513B}">
  <dimension ref="A1:D36"/>
  <sheetViews>
    <sheetView showGridLines="0" tabSelected="1" topLeftCell="A4" zoomScale="108" workbookViewId="0">
      <selection activeCell="E22" sqref="E22"/>
    </sheetView>
  </sheetViews>
  <sheetFormatPr defaultColWidth="0" defaultRowHeight="14.4" x14ac:dyDescent="0.3"/>
  <cols>
    <col min="1" max="1" width="23.33203125" bestFit="1" customWidth="1"/>
    <col min="2" max="2" width="32.77734375" bestFit="1" customWidth="1"/>
    <col min="3" max="3" width="37" customWidth="1"/>
    <col min="4" max="4" width="17" bestFit="1" customWidth="1"/>
    <col min="5" max="5" width="22" bestFit="1" customWidth="1"/>
    <col min="6" max="6" width="13.21875" bestFit="1" customWidth="1"/>
    <col min="7" max="7" width="8.88671875" customWidth="1"/>
    <col min="8" max="8" width="0" hidden="1" customWidth="1"/>
  </cols>
  <sheetData>
    <row r="1" spans="2:4" ht="33" x14ac:dyDescent="0.65">
      <c r="B1" s="36" t="s">
        <v>6</v>
      </c>
      <c r="C1" s="36"/>
      <c r="D1" s="36"/>
    </row>
    <row r="3" spans="2:4" ht="35.4" customHeight="1" x14ac:dyDescent="0.3">
      <c r="B3" s="30" t="s">
        <v>14</v>
      </c>
      <c r="C3" s="31"/>
      <c r="D3" s="32"/>
    </row>
    <row r="4" spans="2:4" ht="15.6" x14ac:dyDescent="0.3">
      <c r="B4" s="22" t="s">
        <v>16</v>
      </c>
      <c r="C4" s="23"/>
      <c r="D4" s="3">
        <v>4200</v>
      </c>
    </row>
    <row r="5" spans="2:4" ht="15.6" x14ac:dyDescent="0.3">
      <c r="B5" s="24" t="s">
        <v>15</v>
      </c>
      <c r="C5" s="25"/>
      <c r="D5" s="4">
        <v>8.8999999999999999E-3</v>
      </c>
    </row>
    <row r="6" spans="2:4" ht="15.6" x14ac:dyDescent="0.3">
      <c r="B6" s="33" t="s">
        <v>35</v>
      </c>
      <c r="C6" s="34"/>
      <c r="D6" s="5">
        <f>D4*30%</f>
        <v>1260</v>
      </c>
    </row>
    <row r="8" spans="2:4" ht="36" customHeight="1" x14ac:dyDescent="0.3">
      <c r="B8" s="20" t="s">
        <v>5</v>
      </c>
      <c r="C8" s="35"/>
      <c r="D8" s="21"/>
    </row>
    <row r="9" spans="2:4" ht="15.6" x14ac:dyDescent="0.3">
      <c r="B9" s="22" t="s">
        <v>0</v>
      </c>
      <c r="C9" s="23"/>
      <c r="D9" s="6">
        <v>1260</v>
      </c>
    </row>
    <row r="10" spans="2:4" ht="15.6" x14ac:dyDescent="0.3">
      <c r="B10" s="24" t="s">
        <v>1</v>
      </c>
      <c r="C10" s="25"/>
      <c r="D10" s="7">
        <v>10</v>
      </c>
    </row>
    <row r="11" spans="2:4" ht="15.6" x14ac:dyDescent="0.3">
      <c r="B11" s="24" t="s">
        <v>2</v>
      </c>
      <c r="C11" s="25"/>
      <c r="D11" s="8">
        <v>1.0789999999999999E-2</v>
      </c>
    </row>
    <row r="12" spans="2:4" ht="15.6" x14ac:dyDescent="0.3">
      <c r="B12" s="26" t="s">
        <v>3</v>
      </c>
      <c r="C12" s="27"/>
      <c r="D12" s="9">
        <f>FV(taxa_mensal,qtd_anos*12,-aporte)</f>
        <v>306538.10778801696</v>
      </c>
    </row>
    <row r="13" spans="2:4" ht="15.6" x14ac:dyDescent="0.3">
      <c r="B13" s="28" t="s">
        <v>4</v>
      </c>
      <c r="C13" s="29"/>
      <c r="D13" s="10">
        <f>patrimonio*Rendimento_carteira</f>
        <v>2728.189159313351</v>
      </c>
    </row>
    <row r="14" spans="2:4" ht="13.2" customHeight="1" x14ac:dyDescent="0.3"/>
    <row r="15" spans="2:4" hidden="1" x14ac:dyDescent="0.3"/>
    <row r="16" spans="2:4" ht="44.4" customHeight="1" x14ac:dyDescent="0.3">
      <c r="B16" s="20" t="s">
        <v>7</v>
      </c>
      <c r="C16" s="21"/>
      <c r="D16" s="2" t="s">
        <v>13</v>
      </c>
    </row>
    <row r="17" spans="1:4" ht="15.6" x14ac:dyDescent="0.3">
      <c r="A17" s="1">
        <v>2</v>
      </c>
      <c r="B17" s="11" t="s">
        <v>8</v>
      </c>
      <c r="C17" s="12">
        <f>FV($D$11,$A17*12,-$D$9)</f>
        <v>34306.810395032975</v>
      </c>
      <c r="D17" s="13">
        <f>C17*Rendimento_carteira</f>
        <v>305.33061251579346</v>
      </c>
    </row>
    <row r="18" spans="1:4" ht="15.6" x14ac:dyDescent="0.3">
      <c r="A18" s="1">
        <v>5</v>
      </c>
      <c r="B18" s="14" t="s">
        <v>9</v>
      </c>
      <c r="C18" s="15">
        <f>FV($D$11,$A18*12,-$D$9)</f>
        <v>105558.91163809443</v>
      </c>
      <c r="D18" s="16">
        <f>C18*Rendimento_carteira</f>
        <v>939.47431357904043</v>
      </c>
    </row>
    <row r="19" spans="1:4" ht="15.6" x14ac:dyDescent="0.3">
      <c r="A19" s="1">
        <v>10</v>
      </c>
      <c r="B19" s="14" t="s">
        <v>10</v>
      </c>
      <c r="C19" s="15">
        <f>FV($D$11,$A19*12,-$D$9)</f>
        <v>306538.10778801696</v>
      </c>
      <c r="D19" s="16">
        <f>C19*Rendimento_carteira</f>
        <v>2728.189159313351</v>
      </c>
    </row>
    <row r="20" spans="1:4" ht="15.6" x14ac:dyDescent="0.3">
      <c r="A20" s="1">
        <v>20</v>
      </c>
      <c r="B20" s="14" t="s">
        <v>11</v>
      </c>
      <c r="C20" s="15">
        <f>FV($D$11,$A20*12,-$D$9)</f>
        <v>1417749.9841223215</v>
      </c>
      <c r="D20" s="16">
        <f>C20*Rendimento_carteira</f>
        <v>12617.974858688662</v>
      </c>
    </row>
    <row r="21" spans="1:4" ht="15.6" x14ac:dyDescent="0.3">
      <c r="A21" s="1">
        <v>30</v>
      </c>
      <c r="B21" s="17" t="s">
        <v>12</v>
      </c>
      <c r="C21" s="18">
        <f>FV($D$11,$A21*12,-$D$9)</f>
        <v>5445933.7653059401</v>
      </c>
      <c r="D21" s="19">
        <f>C21*Rendimento_carteira</f>
        <v>48468.810511222866</v>
      </c>
    </row>
    <row r="25" spans="1:4" x14ac:dyDescent="0.3">
      <c r="B25" s="37" t="s">
        <v>17</v>
      </c>
      <c r="C25" s="38" t="s">
        <v>20</v>
      </c>
      <c r="D25" s="37"/>
    </row>
    <row r="26" spans="1:4" x14ac:dyDescent="0.3">
      <c r="B26" s="39" t="s">
        <v>21</v>
      </c>
      <c r="C26" s="40">
        <f>aporte</f>
        <v>1260</v>
      </c>
      <c r="D26" s="39"/>
    </row>
    <row r="29" spans="1:4" x14ac:dyDescent="0.3">
      <c r="B29" s="44" t="s">
        <v>22</v>
      </c>
      <c r="C29" s="44" t="s">
        <v>23</v>
      </c>
      <c r="D29" s="44" t="s">
        <v>24</v>
      </c>
    </row>
    <row r="30" spans="1:4" x14ac:dyDescent="0.3">
      <c r="B30" s="41" t="s">
        <v>25</v>
      </c>
      <c r="C30" s="42">
        <f>VLOOKUP($C$25&amp;"-"&amp;B30,Planilha2!$A$1:$D$19,4,)</f>
        <v>0.32</v>
      </c>
      <c r="D30" s="43">
        <f>C30*$C$26</f>
        <v>403.2</v>
      </c>
    </row>
    <row r="31" spans="1:4" x14ac:dyDescent="0.3">
      <c r="B31" s="41" t="s">
        <v>26</v>
      </c>
      <c r="C31" s="42">
        <f>VLOOKUP($C$25&amp;"-"&amp;B31,Planilha2!$A$1:$D$19,4,)</f>
        <v>0.4</v>
      </c>
      <c r="D31" s="43">
        <f t="shared" ref="D31:D35" si="0">C31*$C$26</f>
        <v>504</v>
      </c>
    </row>
    <row r="32" spans="1:4" x14ac:dyDescent="0.3">
      <c r="B32" s="41" t="s">
        <v>27</v>
      </c>
      <c r="C32" s="42">
        <f>VLOOKUP($C$25&amp;"-"&amp;B32,Planilha2!$A$1:$D$19,4,)</f>
        <v>0.08</v>
      </c>
      <c r="D32" s="43">
        <f t="shared" si="0"/>
        <v>100.8</v>
      </c>
    </row>
    <row r="33" spans="2:4" x14ac:dyDescent="0.3">
      <c r="B33" s="41" t="s">
        <v>28</v>
      </c>
      <c r="C33" s="42">
        <f>VLOOKUP($C$25&amp;"-"&amp;B33,Planilha2!$A$1:$D$19,4,)</f>
        <v>0.1</v>
      </c>
      <c r="D33" s="43">
        <f t="shared" si="0"/>
        <v>126</v>
      </c>
    </row>
    <row r="34" spans="2:4" x14ac:dyDescent="0.3">
      <c r="B34" s="41" t="s">
        <v>29</v>
      </c>
      <c r="C34" s="42">
        <f>VLOOKUP($C$25&amp;"-"&amp;B34,Planilha2!$A$1:$D$19,4,)</f>
        <v>0.1</v>
      </c>
      <c r="D34" s="43">
        <f t="shared" si="0"/>
        <v>126</v>
      </c>
    </row>
    <row r="35" spans="2:4" x14ac:dyDescent="0.3">
      <c r="B35" s="41" t="s">
        <v>30</v>
      </c>
      <c r="C35" s="42">
        <f>VLOOKUP($C$25&amp;"-"&amp;B35,Planilha2!$A$1:$D$19,4,)</f>
        <v>0.1</v>
      </c>
      <c r="D35" s="43">
        <f t="shared" si="0"/>
        <v>126</v>
      </c>
    </row>
    <row r="36" spans="2:4" x14ac:dyDescent="0.3">
      <c r="B36" s="45"/>
      <c r="C36" s="46"/>
      <c r="D36" s="46"/>
    </row>
  </sheetData>
  <mergeCells count="12">
    <mergeCell ref="B1:D1"/>
    <mergeCell ref="B3:D3"/>
    <mergeCell ref="B4:C4"/>
    <mergeCell ref="B5:C5"/>
    <mergeCell ref="B6:C6"/>
    <mergeCell ref="B8:D8"/>
    <mergeCell ref="B16:C16"/>
    <mergeCell ref="B9:C9"/>
    <mergeCell ref="B10:C10"/>
    <mergeCell ref="B11:C11"/>
    <mergeCell ref="B12:C12"/>
    <mergeCell ref="B13:C13"/>
  </mergeCells>
  <dataValidations count="1">
    <dataValidation type="list" allowBlank="1" showInputMessage="1" showErrorMessage="1" sqref="C25" xr:uid="{C6BE8F3B-5762-4759-AA55-901221D3CCC0}">
      <formula1>"Conservador,Moderado,Agressivo"</formula1>
    </dataValidation>
  </dataValidation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504FA-C5FA-4970-BFE6-F1D8520C52A3}">
  <dimension ref="A1:H19"/>
  <sheetViews>
    <sheetView workbookViewId="0">
      <selection activeCell="H4" sqref="H4"/>
    </sheetView>
  </sheetViews>
  <sheetFormatPr defaultRowHeight="14.4" x14ac:dyDescent="0.3"/>
  <cols>
    <col min="1" max="1" width="28.77734375" bestFit="1" customWidth="1"/>
    <col min="2" max="3" width="17.6640625" bestFit="1" customWidth="1"/>
    <col min="7" max="7" width="15.44140625" bestFit="1" customWidth="1"/>
  </cols>
  <sheetData>
    <row r="1" spans="1:8" x14ac:dyDescent="0.3">
      <c r="A1" t="s">
        <v>33</v>
      </c>
      <c r="B1" s="41" t="s">
        <v>31</v>
      </c>
      <c r="C1" s="41" t="s">
        <v>22</v>
      </c>
      <c r="D1" s="41" t="s">
        <v>32</v>
      </c>
    </row>
    <row r="2" spans="1:8" x14ac:dyDescent="0.3">
      <c r="A2" t="str">
        <f>B2&amp;"-"&amp;C2</f>
        <v>Conservador-PAPEL</v>
      </c>
      <c r="B2" t="s">
        <v>19</v>
      </c>
      <c r="C2" s="41" t="s">
        <v>25</v>
      </c>
      <c r="D2" s="42">
        <v>0.3</v>
      </c>
    </row>
    <row r="3" spans="1:8" x14ac:dyDescent="0.3">
      <c r="A3" t="str">
        <f t="shared" ref="A3:A19" si="0">B3&amp;"-"&amp;C3</f>
        <v>Conservador-TIJOLO</v>
      </c>
      <c r="B3" t="s">
        <v>19</v>
      </c>
      <c r="C3" s="41" t="s">
        <v>26</v>
      </c>
      <c r="D3" s="42">
        <v>0.5</v>
      </c>
    </row>
    <row r="4" spans="1:8" x14ac:dyDescent="0.3">
      <c r="A4" t="str">
        <f t="shared" si="0"/>
        <v>Conservador-HÍBRIDOS</v>
      </c>
      <c r="B4" t="s">
        <v>19</v>
      </c>
      <c r="C4" s="41" t="s">
        <v>27</v>
      </c>
      <c r="D4" s="42">
        <v>0.1</v>
      </c>
      <c r="G4" s="37" t="s">
        <v>34</v>
      </c>
      <c r="H4" s="54">
        <f>VLOOKUP(G4,$A$1:$D$19,4,)</f>
        <v>0.4</v>
      </c>
    </row>
    <row r="5" spans="1:8" x14ac:dyDescent="0.3">
      <c r="A5" t="str">
        <f t="shared" si="0"/>
        <v>Conservador-FOFs</v>
      </c>
      <c r="B5" t="s">
        <v>19</v>
      </c>
      <c r="C5" s="41" t="s">
        <v>28</v>
      </c>
      <c r="D5" s="42">
        <v>0.1</v>
      </c>
    </row>
    <row r="6" spans="1:8" x14ac:dyDescent="0.3">
      <c r="A6" t="str">
        <f t="shared" si="0"/>
        <v>Conservador-DESENVOLVIMENTO</v>
      </c>
      <c r="B6" t="s">
        <v>19</v>
      </c>
      <c r="C6" s="41" t="s">
        <v>29</v>
      </c>
      <c r="D6" s="42">
        <v>0</v>
      </c>
    </row>
    <row r="7" spans="1:8" x14ac:dyDescent="0.3">
      <c r="A7" s="47" t="str">
        <f t="shared" si="0"/>
        <v>Conservador-HOTELARIAS</v>
      </c>
      <c r="B7" s="47" t="s">
        <v>19</v>
      </c>
      <c r="C7" s="48" t="s">
        <v>30</v>
      </c>
      <c r="D7" s="49">
        <v>0</v>
      </c>
    </row>
    <row r="8" spans="1:8" x14ac:dyDescent="0.3">
      <c r="A8" t="str">
        <f t="shared" si="0"/>
        <v>Moderado-PAPEL</v>
      </c>
      <c r="B8" t="s">
        <v>20</v>
      </c>
      <c r="C8" s="41" t="s">
        <v>25</v>
      </c>
      <c r="D8" s="52">
        <v>0.32</v>
      </c>
    </row>
    <row r="9" spans="1:8" x14ac:dyDescent="0.3">
      <c r="A9" t="str">
        <f t="shared" si="0"/>
        <v>Moderado-TIJOLO</v>
      </c>
      <c r="B9" t="s">
        <v>20</v>
      </c>
      <c r="C9" s="41" t="s">
        <v>26</v>
      </c>
      <c r="D9" s="52">
        <v>0.4</v>
      </c>
    </row>
    <row r="10" spans="1:8" x14ac:dyDescent="0.3">
      <c r="A10" t="str">
        <f t="shared" si="0"/>
        <v>Moderado-HÍBRIDOS</v>
      </c>
      <c r="B10" t="s">
        <v>20</v>
      </c>
      <c r="C10" s="41" t="s">
        <v>27</v>
      </c>
      <c r="D10" s="52">
        <v>0.08</v>
      </c>
    </row>
    <row r="11" spans="1:8" x14ac:dyDescent="0.3">
      <c r="A11" t="str">
        <f t="shared" si="0"/>
        <v>Moderado-FOFs</v>
      </c>
      <c r="B11" t="s">
        <v>20</v>
      </c>
      <c r="C11" s="41" t="s">
        <v>28</v>
      </c>
      <c r="D11" s="52">
        <v>0.1</v>
      </c>
    </row>
    <row r="12" spans="1:8" x14ac:dyDescent="0.3">
      <c r="A12" t="str">
        <f t="shared" si="0"/>
        <v>Moderado-DESENVOLVIMENTO</v>
      </c>
      <c r="B12" t="s">
        <v>20</v>
      </c>
      <c r="C12" s="41" t="s">
        <v>29</v>
      </c>
      <c r="D12" s="52">
        <v>0.1</v>
      </c>
    </row>
    <row r="13" spans="1:8" x14ac:dyDescent="0.3">
      <c r="A13" s="47" t="str">
        <f t="shared" si="0"/>
        <v>Moderado-HOTELARIAS</v>
      </c>
      <c r="B13" s="47" t="s">
        <v>20</v>
      </c>
      <c r="C13" s="48" t="s">
        <v>30</v>
      </c>
      <c r="D13" s="53">
        <v>0.1</v>
      </c>
    </row>
    <row r="14" spans="1:8" x14ac:dyDescent="0.3">
      <c r="A14" t="str">
        <f t="shared" si="0"/>
        <v>Agressivo-PAPEL</v>
      </c>
      <c r="B14" s="50" t="s">
        <v>18</v>
      </c>
      <c r="C14" s="41" t="s">
        <v>25</v>
      </c>
      <c r="D14" s="52">
        <v>0.5</v>
      </c>
    </row>
    <row r="15" spans="1:8" x14ac:dyDescent="0.3">
      <c r="A15" t="str">
        <f t="shared" si="0"/>
        <v>Agressivo-TIJOLO</v>
      </c>
      <c r="B15" s="50" t="s">
        <v>18</v>
      </c>
      <c r="C15" s="41" t="s">
        <v>26</v>
      </c>
      <c r="D15" s="52">
        <v>0.1</v>
      </c>
    </row>
    <row r="16" spans="1:8" x14ac:dyDescent="0.3">
      <c r="A16" t="str">
        <f t="shared" si="0"/>
        <v>Agressivo-HÍBRIDOS</v>
      </c>
      <c r="B16" s="50" t="s">
        <v>18</v>
      </c>
      <c r="C16" s="41" t="s">
        <v>27</v>
      </c>
      <c r="D16" s="52">
        <v>0.05</v>
      </c>
    </row>
    <row r="17" spans="1:4" x14ac:dyDescent="0.3">
      <c r="A17" t="str">
        <f t="shared" si="0"/>
        <v>Agressivo-FOFs</v>
      </c>
      <c r="B17" s="50" t="s">
        <v>18</v>
      </c>
      <c r="C17" s="41" t="s">
        <v>28</v>
      </c>
      <c r="D17" s="52">
        <v>0.05</v>
      </c>
    </row>
    <row r="18" spans="1:4" x14ac:dyDescent="0.3">
      <c r="A18" t="str">
        <f t="shared" si="0"/>
        <v>Agressivo-DESENVOLVIMENTO</v>
      </c>
      <c r="B18" s="50" t="s">
        <v>18</v>
      </c>
      <c r="C18" s="41" t="s">
        <v>29</v>
      </c>
      <c r="D18" s="52">
        <v>0.2</v>
      </c>
    </row>
    <row r="19" spans="1:4" x14ac:dyDescent="0.3">
      <c r="A19" s="47" t="str">
        <f>B19&amp;"-"&amp;C19</f>
        <v>Agressivo-HOTELARIAS</v>
      </c>
      <c r="B19" s="51" t="s">
        <v>18</v>
      </c>
      <c r="C19" s="48" t="s">
        <v>30</v>
      </c>
      <c r="D19" s="53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6</vt:i4>
      </vt:variant>
    </vt:vector>
  </HeadingPairs>
  <TitlesOfParts>
    <vt:vector size="9" baseType="lpstr">
      <vt:lpstr>Planilha3</vt:lpstr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Vitória</dc:creator>
  <cp:lastModifiedBy>Beatriz Vitória</cp:lastModifiedBy>
  <dcterms:created xsi:type="dcterms:W3CDTF">2026-10-01T17:27:28Z</dcterms:created>
  <dcterms:modified xsi:type="dcterms:W3CDTF">2026-10-10T18:25:50Z</dcterms:modified>
</cp:coreProperties>
</file>